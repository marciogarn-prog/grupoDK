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8055a78fd5d8e5/Documentos/CURSOR DK/"/>
    </mc:Choice>
  </mc:AlternateContent>
  <xr:revisionPtr revIDLastSave="0" documentId="8_{724A41AC-9E60-4641-A207-678665796642}" xr6:coauthVersionLast="47" xr6:coauthVersionMax="47" xr10:uidLastSave="{00000000-0000-0000-0000-000000000000}"/>
  <bookViews>
    <workbookView xWindow="-110" yWindow="-110" windowWidth="19420" windowHeight="11500" xr2:uid="{96D8C629-CC0D-4829-8410-D8499FD34050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15" i="1"/>
  <c r="A36" i="1"/>
  <c r="A37" i="1"/>
  <c r="A38" i="1"/>
  <c r="A39" i="1"/>
  <c r="A40" i="1"/>
  <c r="A41" i="1"/>
  <c r="A42" i="1"/>
  <c r="F34" i="1"/>
  <c r="F35" i="1"/>
  <c r="F36" i="1"/>
  <c r="F37" i="1"/>
  <c r="F38" i="1"/>
  <c r="F39" i="1"/>
  <c r="F40" i="1"/>
  <c r="F41" i="1"/>
  <c r="F42" i="1"/>
  <c r="F33" i="1"/>
  <c r="A32" i="1"/>
  <c r="A33" i="1" s="1"/>
  <c r="A34" i="1" s="1"/>
  <c r="A35" i="1" s="1"/>
  <c r="E29" i="1"/>
  <c r="E30" i="1"/>
  <c r="E31" i="1"/>
  <c r="E32" i="1"/>
  <c r="E33" i="1"/>
  <c r="E34" i="1"/>
  <c r="E28" i="1"/>
  <c r="B16" i="1"/>
  <c r="B17" i="1"/>
  <c r="B18" i="1"/>
  <c r="B19" i="1"/>
  <c r="B20" i="1"/>
  <c r="B21" i="1"/>
  <c r="B22" i="1"/>
  <c r="B23" i="1"/>
  <c r="B24" i="1"/>
  <c r="B15" i="1"/>
  <c r="C20" i="1"/>
  <c r="C21" i="1"/>
  <c r="C22" i="1"/>
  <c r="C23" i="1"/>
  <c r="C24" i="1"/>
  <c r="C19" i="1"/>
  <c r="D25" i="1"/>
  <c r="D26" i="1"/>
  <c r="D27" i="1"/>
  <c r="D28" i="1"/>
  <c r="D24" i="1"/>
  <c r="A25" i="1"/>
  <c r="A26" i="1"/>
  <c r="A27" i="1" s="1"/>
  <c r="A28" i="1" s="1"/>
  <c r="A29" i="1" s="1"/>
  <c r="A30" i="1" s="1"/>
  <c r="A31" i="1" s="1"/>
  <c r="E8" i="1"/>
  <c r="E9" i="1"/>
  <c r="E10" i="1"/>
  <c r="E11" i="1"/>
  <c r="E7" i="1"/>
  <c r="A24" i="1"/>
  <c r="A17" i="1"/>
  <c r="A18" i="1"/>
  <c r="A19" i="1" s="1"/>
  <c r="A20" i="1" s="1"/>
  <c r="A21" i="1" s="1"/>
  <c r="A22" i="1" s="1"/>
  <c r="A23" i="1" s="1"/>
  <c r="A16" i="1"/>
  <c r="A9" i="1"/>
</calcChain>
</file>

<file path=xl/sharedStrings.xml><?xml version="1.0" encoding="utf-8"?>
<sst xmlns="http://schemas.openxmlformats.org/spreadsheetml/2006/main" count="19" uniqueCount="19">
  <si>
    <t>RELATÓRIO DE MULTAS</t>
  </si>
  <si>
    <t>SEG</t>
  </si>
  <si>
    <t>NUMERO DA MULTA</t>
  </si>
  <si>
    <t xml:space="preserve">COD </t>
  </si>
  <si>
    <t xml:space="preserve">VALOR </t>
  </si>
  <si>
    <t>PARCELAS</t>
  </si>
  <si>
    <t>RESUMO</t>
  </si>
  <si>
    <t xml:space="preserve">DATA DA MULTA </t>
  </si>
  <si>
    <t>DETALHAMENTO</t>
  </si>
  <si>
    <t>DATA</t>
  </si>
  <si>
    <t>MULTA 1</t>
  </si>
  <si>
    <t>MULTA 2</t>
  </si>
  <si>
    <t>MULTA 3</t>
  </si>
  <si>
    <t>MULTA 4</t>
  </si>
  <si>
    <t>MULTA 5</t>
  </si>
  <si>
    <t>VALOR DA PARCELA</t>
  </si>
  <si>
    <t>TOTAL DE MULTAS</t>
  </si>
  <si>
    <t>DIA DE PAGAMENTO DO CLIENTE =</t>
  </si>
  <si>
    <t xml:space="preserve">TOTAL DE MULTAS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</si>
</sst>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/>
    <xf numFmtId="14" fontId="0" fillId="0" borderId="10" xfId="0" applyNumberFormat="1" applyBorder="1"/>
    <xf numFmtId="44" fontId="0" fillId="0" borderId="0" xfId="0" applyNumberFormat="1"/>
    <xf numFmtId="0" fontId="3" fillId="0" borderId="0" xfId="0" applyFont="1" applyAlignment="1">
      <alignment horizontal="center" vertical="center"/>
    </xf>
    <xf numFmtId="44" fontId="0" fillId="2" borderId="0" xfId="0" applyNumberFormat="1" applyFill="1"/>
    <xf numFmtId="44" fontId="0" fillId="2" borderId="7" xfId="1" applyFont="1" applyFill="1" applyBorder="1"/>
    <xf numFmtId="44" fontId="0" fillId="2" borderId="4" xfId="1" applyFont="1" applyFill="1" applyBorder="1"/>
    <xf numFmtId="0" fontId="0" fillId="3" borderId="6" xfId="0" applyFill="1" applyBorder="1"/>
    <xf numFmtId="0" fontId="0" fillId="3" borderId="9" xfId="0" applyFill="1" applyBorder="1"/>
    <xf numFmtId="0" fontId="3" fillId="3" borderId="0" xfId="0" applyFont="1" applyFill="1" applyAlignment="1">
      <alignment horizontal="center" vertical="center"/>
    </xf>
    <xf numFmtId="0" fontId="0" fillId="4" borderId="0" xfId="0" applyFill="1"/>
    <xf numFmtId="14" fontId="0" fillId="4" borderId="0" xfId="0" applyNumberFormat="1" applyFill="1"/>
    <xf numFmtId="44" fontId="0" fillId="5" borderId="7" xfId="0" applyNumberFormat="1" applyFill="1" applyBorder="1" applyAlignment="1">
      <alignment horizontal="center" vertical="center"/>
    </xf>
    <xf numFmtId="44" fontId="0" fillId="5" borderId="0" xfId="0" applyNumberFormat="1" applyFill="1"/>
    <xf numFmtId="44" fontId="0" fillId="6" borderId="7" xfId="0" applyNumberFormat="1" applyFill="1" applyBorder="1" applyAlignment="1">
      <alignment horizontal="center" vertical="center"/>
    </xf>
    <xf numFmtId="44" fontId="0" fillId="6" borderId="0" xfId="0" applyNumberFormat="1" applyFill="1"/>
    <xf numFmtId="44" fontId="0" fillId="7" borderId="7" xfId="0" applyNumberFormat="1" applyFill="1" applyBorder="1" applyAlignment="1">
      <alignment horizontal="center" vertical="center"/>
    </xf>
    <xf numFmtId="44" fontId="0" fillId="7" borderId="0" xfId="0" applyNumberFormat="1" applyFill="1"/>
    <xf numFmtId="44" fontId="6" fillId="8" borderId="7" xfId="0" applyNumberFormat="1" applyFont="1" applyFill="1" applyBorder="1" applyAlignment="1">
      <alignment horizontal="center" vertical="center"/>
    </xf>
    <xf numFmtId="44" fontId="6" fillId="8" borderId="0" xfId="0" applyNumberFormat="1" applyFont="1" applyFill="1"/>
    <xf numFmtId="44" fontId="2" fillId="0" borderId="0" xfId="0" applyNumberFormat="1" applyFont="1"/>
    <xf numFmtId="44" fontId="2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33D5-D37A-457D-8EAB-A83F6E5A6E26}">
  <dimension ref="A1:G42"/>
  <sheetViews>
    <sheetView tabSelected="1" topLeftCell="A25" workbookViewId="0">
      <selection sqref="A1:G42"/>
    </sheetView>
  </sheetViews>
  <sheetFormatPr defaultColWidth="19.81640625" defaultRowHeight="14.5" x14ac:dyDescent="0.35"/>
  <sheetData>
    <row r="1" spans="1:7" x14ac:dyDescent="0.35">
      <c r="A1" t="s">
        <v>0</v>
      </c>
    </row>
    <row r="3" spans="1:7" x14ac:dyDescent="0.35">
      <c r="A3" s="27" t="s">
        <v>17</v>
      </c>
      <c r="B3" s="27"/>
      <c r="C3" s="15" t="s">
        <v>1</v>
      </c>
      <c r="E3" t="s">
        <v>18</v>
      </c>
      <c r="F3" s="9">
        <f>SUM(C7:C11)</f>
        <v>2040</v>
      </c>
    </row>
    <row r="5" spans="1:7" ht="15" thickBot="1" x14ac:dyDescent="0.4">
      <c r="A5" s="31" t="s">
        <v>6</v>
      </c>
      <c r="B5" s="32"/>
      <c r="C5" s="32"/>
      <c r="D5" s="32"/>
      <c r="E5" s="32"/>
      <c r="F5" s="32"/>
    </row>
    <row r="6" spans="1:7" ht="15" thickBot="1" x14ac:dyDescent="0.4">
      <c r="A6" s="2" t="s">
        <v>2</v>
      </c>
      <c r="B6" s="2" t="s">
        <v>3</v>
      </c>
      <c r="C6" s="2" t="s">
        <v>4</v>
      </c>
      <c r="D6" s="2" t="s">
        <v>5</v>
      </c>
      <c r="E6" s="2" t="s">
        <v>15</v>
      </c>
      <c r="F6" s="2" t="s">
        <v>7</v>
      </c>
    </row>
    <row r="7" spans="1:7" ht="15" thickBot="1" x14ac:dyDescent="0.4">
      <c r="A7" s="12">
        <v>1</v>
      </c>
      <c r="B7" s="4">
        <v>7050</v>
      </c>
      <c r="C7" s="10">
        <v>135</v>
      </c>
      <c r="D7" s="4">
        <v>10</v>
      </c>
      <c r="E7" s="17">
        <f>C7/D7</f>
        <v>13.5</v>
      </c>
      <c r="F7" s="5">
        <v>46000</v>
      </c>
    </row>
    <row r="8" spans="1:7" ht="15" thickBot="1" x14ac:dyDescent="0.4">
      <c r="A8" s="13">
        <v>2</v>
      </c>
      <c r="B8" s="3">
        <v>7651</v>
      </c>
      <c r="C8" s="11">
        <v>295</v>
      </c>
      <c r="D8" s="3">
        <v>6</v>
      </c>
      <c r="E8" s="19">
        <f>C8/D8</f>
        <v>49.166666666666664</v>
      </c>
      <c r="F8" s="6">
        <v>46030</v>
      </c>
    </row>
    <row r="9" spans="1:7" ht="15" thickBot="1" x14ac:dyDescent="0.4">
      <c r="A9" s="13">
        <f>A8+1</f>
        <v>3</v>
      </c>
      <c r="B9" s="3">
        <v>3542</v>
      </c>
      <c r="C9" s="11">
        <v>320</v>
      </c>
      <c r="D9" s="3">
        <v>5</v>
      </c>
      <c r="E9" s="21">
        <f>C9/D9</f>
        <v>64</v>
      </c>
      <c r="F9" s="6">
        <v>46063</v>
      </c>
    </row>
    <row r="10" spans="1:7" ht="15" thickBot="1" x14ac:dyDescent="0.4">
      <c r="A10" s="12">
        <v>4</v>
      </c>
      <c r="B10" s="4">
        <v>1212</v>
      </c>
      <c r="C10" s="10">
        <v>410</v>
      </c>
      <c r="D10" s="4">
        <v>7</v>
      </c>
      <c r="E10" s="23">
        <f>C10/D10</f>
        <v>58.571428571428569</v>
      </c>
      <c r="F10" s="6">
        <v>46064</v>
      </c>
    </row>
    <row r="11" spans="1:7" x14ac:dyDescent="0.35">
      <c r="A11" s="12">
        <v>5</v>
      </c>
      <c r="B11" s="4">
        <v>2323</v>
      </c>
      <c r="C11" s="10">
        <v>880</v>
      </c>
      <c r="D11" s="4">
        <v>10</v>
      </c>
      <c r="E11" s="26">
        <f>C11/D11</f>
        <v>88</v>
      </c>
      <c r="F11" s="6">
        <v>46125</v>
      </c>
    </row>
    <row r="12" spans="1:7" ht="15" thickBot="1" x14ac:dyDescent="0.4"/>
    <row r="13" spans="1:7" ht="15" thickBot="1" x14ac:dyDescent="0.4">
      <c r="A13" s="28" t="s">
        <v>8</v>
      </c>
      <c r="B13" s="29"/>
      <c r="C13" s="29"/>
      <c r="D13" s="29"/>
      <c r="E13" s="29"/>
      <c r="F13" s="29"/>
      <c r="G13" s="30"/>
    </row>
    <row r="14" spans="1:7" s="1" customFormat="1" x14ac:dyDescent="0.35">
      <c r="A14" s="8" t="s">
        <v>9</v>
      </c>
      <c r="B14" s="14" t="s">
        <v>10</v>
      </c>
      <c r="C14" s="14" t="s">
        <v>11</v>
      </c>
      <c r="D14" s="14" t="s">
        <v>12</v>
      </c>
      <c r="E14" s="14" t="s">
        <v>13</v>
      </c>
      <c r="F14" s="14" t="s">
        <v>14</v>
      </c>
      <c r="G14" s="8" t="s">
        <v>16</v>
      </c>
    </row>
    <row r="15" spans="1:7" x14ac:dyDescent="0.35">
      <c r="A15" s="16">
        <v>46006</v>
      </c>
      <c r="B15" s="18">
        <f>$E$7</f>
        <v>13.5</v>
      </c>
      <c r="G15" s="7">
        <f>SUM(B15:F15)</f>
        <v>13.5</v>
      </c>
    </row>
    <row r="16" spans="1:7" x14ac:dyDescent="0.35">
      <c r="A16" s="16">
        <f>A15+7</f>
        <v>46013</v>
      </c>
      <c r="B16" s="18">
        <f t="shared" ref="B16:B24" si="0">$E$7</f>
        <v>13.5</v>
      </c>
      <c r="G16" s="7">
        <f t="shared" ref="G16:G42" si="1">SUM(B16:F16)</f>
        <v>13.5</v>
      </c>
    </row>
    <row r="17" spans="1:7" x14ac:dyDescent="0.35">
      <c r="A17" s="16">
        <f t="shared" ref="A17:A42" si="2">A16+7</f>
        <v>46020</v>
      </c>
      <c r="B17" s="18">
        <f t="shared" si="0"/>
        <v>13.5</v>
      </c>
      <c r="G17" s="7">
        <f t="shared" si="1"/>
        <v>13.5</v>
      </c>
    </row>
    <row r="18" spans="1:7" x14ac:dyDescent="0.35">
      <c r="A18" s="16">
        <f t="shared" si="2"/>
        <v>46027</v>
      </c>
      <c r="B18" s="18">
        <f t="shared" si="0"/>
        <v>13.5</v>
      </c>
      <c r="G18" s="7">
        <f t="shared" si="1"/>
        <v>13.5</v>
      </c>
    </row>
    <row r="19" spans="1:7" x14ac:dyDescent="0.35">
      <c r="A19" s="16">
        <f t="shared" si="2"/>
        <v>46034</v>
      </c>
      <c r="B19" s="18">
        <f t="shared" si="0"/>
        <v>13.5</v>
      </c>
      <c r="C19" s="20">
        <f t="shared" ref="C19:C24" si="3">$E$8</f>
        <v>49.166666666666664</v>
      </c>
      <c r="G19" s="7">
        <f t="shared" si="1"/>
        <v>62.666666666666664</v>
      </c>
    </row>
    <row r="20" spans="1:7" x14ac:dyDescent="0.35">
      <c r="A20" s="16">
        <f t="shared" si="2"/>
        <v>46041</v>
      </c>
      <c r="B20" s="18">
        <f t="shared" si="0"/>
        <v>13.5</v>
      </c>
      <c r="C20" s="20">
        <f t="shared" si="3"/>
        <v>49.166666666666664</v>
      </c>
      <c r="G20" s="7">
        <f t="shared" si="1"/>
        <v>62.666666666666664</v>
      </c>
    </row>
    <row r="21" spans="1:7" x14ac:dyDescent="0.35">
      <c r="A21" s="16">
        <f t="shared" si="2"/>
        <v>46048</v>
      </c>
      <c r="B21" s="18">
        <f t="shared" si="0"/>
        <v>13.5</v>
      </c>
      <c r="C21" s="20">
        <f t="shared" si="3"/>
        <v>49.166666666666664</v>
      </c>
      <c r="G21" s="7">
        <f t="shared" si="1"/>
        <v>62.666666666666664</v>
      </c>
    </row>
    <row r="22" spans="1:7" x14ac:dyDescent="0.35">
      <c r="A22" s="16">
        <f t="shared" si="2"/>
        <v>46055</v>
      </c>
      <c r="B22" s="18">
        <f t="shared" si="0"/>
        <v>13.5</v>
      </c>
      <c r="C22" s="20">
        <f t="shared" si="3"/>
        <v>49.166666666666664</v>
      </c>
      <c r="G22" s="7">
        <f t="shared" si="1"/>
        <v>62.666666666666664</v>
      </c>
    </row>
    <row r="23" spans="1:7" x14ac:dyDescent="0.35">
      <c r="A23" s="16">
        <f t="shared" si="2"/>
        <v>46062</v>
      </c>
      <c r="B23" s="18">
        <f t="shared" si="0"/>
        <v>13.5</v>
      </c>
      <c r="C23" s="20">
        <f t="shared" si="3"/>
        <v>49.166666666666664</v>
      </c>
      <c r="G23" s="7">
        <f t="shared" si="1"/>
        <v>62.666666666666664</v>
      </c>
    </row>
    <row r="24" spans="1:7" x14ac:dyDescent="0.35">
      <c r="A24" s="16">
        <f t="shared" si="2"/>
        <v>46069</v>
      </c>
      <c r="B24" s="18">
        <f t="shared" si="0"/>
        <v>13.5</v>
      </c>
      <c r="C24" s="20">
        <f t="shared" si="3"/>
        <v>49.166666666666664</v>
      </c>
      <c r="D24" s="22">
        <f>$E$9</f>
        <v>64</v>
      </c>
      <c r="G24" s="7">
        <f t="shared" si="1"/>
        <v>126.66666666666666</v>
      </c>
    </row>
    <row r="25" spans="1:7" x14ac:dyDescent="0.35">
      <c r="A25" s="16">
        <f t="shared" si="2"/>
        <v>46076</v>
      </c>
      <c r="D25" s="22">
        <f>$E$9</f>
        <v>64</v>
      </c>
      <c r="G25" s="7">
        <f t="shared" si="1"/>
        <v>64</v>
      </c>
    </row>
    <row r="26" spans="1:7" x14ac:dyDescent="0.35">
      <c r="A26" s="16">
        <f t="shared" si="2"/>
        <v>46083</v>
      </c>
      <c r="D26" s="22">
        <f>$E$9</f>
        <v>64</v>
      </c>
      <c r="G26" s="7">
        <f t="shared" si="1"/>
        <v>64</v>
      </c>
    </row>
    <row r="27" spans="1:7" x14ac:dyDescent="0.35">
      <c r="A27" s="16">
        <f t="shared" si="2"/>
        <v>46090</v>
      </c>
      <c r="D27" s="22">
        <f>$E$9</f>
        <v>64</v>
      </c>
      <c r="G27" s="7">
        <f t="shared" si="1"/>
        <v>64</v>
      </c>
    </row>
    <row r="28" spans="1:7" x14ac:dyDescent="0.35">
      <c r="A28" s="16">
        <f t="shared" si="2"/>
        <v>46097</v>
      </c>
      <c r="D28" s="22">
        <f>$E$9</f>
        <v>64</v>
      </c>
      <c r="E28" s="24">
        <f>$E$10</f>
        <v>58.571428571428569</v>
      </c>
      <c r="G28" s="7">
        <f t="shared" si="1"/>
        <v>122.57142857142857</v>
      </c>
    </row>
    <row r="29" spans="1:7" x14ac:dyDescent="0.35">
      <c r="A29" s="16">
        <f t="shared" si="2"/>
        <v>46104</v>
      </c>
      <c r="E29" s="24">
        <f t="shared" ref="E29:E34" si="4">$E$10</f>
        <v>58.571428571428569</v>
      </c>
      <c r="G29" s="7">
        <f t="shared" si="1"/>
        <v>58.571428571428569</v>
      </c>
    </row>
    <row r="30" spans="1:7" x14ac:dyDescent="0.35">
      <c r="A30" s="16">
        <f t="shared" si="2"/>
        <v>46111</v>
      </c>
      <c r="E30" s="24">
        <f t="shared" si="4"/>
        <v>58.571428571428569</v>
      </c>
      <c r="G30" s="7">
        <f t="shared" si="1"/>
        <v>58.571428571428569</v>
      </c>
    </row>
    <row r="31" spans="1:7" x14ac:dyDescent="0.35">
      <c r="A31" s="16">
        <f t="shared" si="2"/>
        <v>46118</v>
      </c>
      <c r="E31" s="24">
        <f t="shared" si="4"/>
        <v>58.571428571428569</v>
      </c>
      <c r="G31" s="7">
        <f t="shared" si="1"/>
        <v>58.571428571428569</v>
      </c>
    </row>
    <row r="32" spans="1:7" x14ac:dyDescent="0.35">
      <c r="A32" s="16">
        <f t="shared" si="2"/>
        <v>46125</v>
      </c>
      <c r="E32" s="24">
        <f t="shared" si="4"/>
        <v>58.571428571428569</v>
      </c>
      <c r="G32" s="7">
        <f t="shared" si="1"/>
        <v>58.571428571428569</v>
      </c>
    </row>
    <row r="33" spans="1:7" x14ac:dyDescent="0.35">
      <c r="A33" s="16">
        <f t="shared" si="2"/>
        <v>46132</v>
      </c>
      <c r="E33" s="24">
        <f t="shared" si="4"/>
        <v>58.571428571428569</v>
      </c>
      <c r="F33" s="25">
        <f>$E$11</f>
        <v>88</v>
      </c>
      <c r="G33" s="7">
        <f t="shared" si="1"/>
        <v>146.57142857142856</v>
      </c>
    </row>
    <row r="34" spans="1:7" x14ac:dyDescent="0.35">
      <c r="A34" s="16">
        <f t="shared" si="2"/>
        <v>46139</v>
      </c>
      <c r="E34" s="24">
        <f t="shared" si="4"/>
        <v>58.571428571428569</v>
      </c>
      <c r="F34" s="25">
        <f t="shared" ref="F34:F42" si="5">$E$11</f>
        <v>88</v>
      </c>
      <c r="G34" s="7">
        <f t="shared" si="1"/>
        <v>146.57142857142856</v>
      </c>
    </row>
    <row r="35" spans="1:7" x14ac:dyDescent="0.35">
      <c r="A35" s="16">
        <f t="shared" si="2"/>
        <v>46146</v>
      </c>
      <c r="F35" s="25">
        <f t="shared" si="5"/>
        <v>88</v>
      </c>
      <c r="G35" s="7">
        <f t="shared" si="1"/>
        <v>88</v>
      </c>
    </row>
    <row r="36" spans="1:7" x14ac:dyDescent="0.35">
      <c r="A36" s="16">
        <f t="shared" si="2"/>
        <v>46153</v>
      </c>
      <c r="F36" s="25">
        <f t="shared" si="5"/>
        <v>88</v>
      </c>
      <c r="G36" s="7">
        <f t="shared" si="1"/>
        <v>88</v>
      </c>
    </row>
    <row r="37" spans="1:7" x14ac:dyDescent="0.35">
      <c r="A37" s="16">
        <f t="shared" si="2"/>
        <v>46160</v>
      </c>
      <c r="F37" s="25">
        <f t="shared" si="5"/>
        <v>88</v>
      </c>
      <c r="G37" s="7">
        <f t="shared" si="1"/>
        <v>88</v>
      </c>
    </row>
    <row r="38" spans="1:7" x14ac:dyDescent="0.35">
      <c r="A38" s="16">
        <f t="shared" si="2"/>
        <v>46167</v>
      </c>
      <c r="F38" s="25">
        <f t="shared" si="5"/>
        <v>88</v>
      </c>
      <c r="G38" s="7">
        <f t="shared" si="1"/>
        <v>88</v>
      </c>
    </row>
    <row r="39" spans="1:7" x14ac:dyDescent="0.35">
      <c r="A39" s="16">
        <f t="shared" si="2"/>
        <v>46174</v>
      </c>
      <c r="F39" s="25">
        <f t="shared" si="5"/>
        <v>88</v>
      </c>
      <c r="G39" s="7">
        <f t="shared" si="1"/>
        <v>88</v>
      </c>
    </row>
    <row r="40" spans="1:7" x14ac:dyDescent="0.35">
      <c r="A40" s="16">
        <f t="shared" si="2"/>
        <v>46181</v>
      </c>
      <c r="F40" s="25">
        <f t="shared" si="5"/>
        <v>88</v>
      </c>
      <c r="G40" s="7">
        <f t="shared" si="1"/>
        <v>88</v>
      </c>
    </row>
    <row r="41" spans="1:7" x14ac:dyDescent="0.35">
      <c r="A41" s="16">
        <f t="shared" si="2"/>
        <v>46188</v>
      </c>
      <c r="F41" s="25">
        <f t="shared" si="5"/>
        <v>88</v>
      </c>
      <c r="G41" s="7">
        <f t="shared" si="1"/>
        <v>88</v>
      </c>
    </row>
    <row r="42" spans="1:7" x14ac:dyDescent="0.35">
      <c r="A42" s="16">
        <f t="shared" si="2"/>
        <v>46195</v>
      </c>
      <c r="F42" s="25">
        <f t="shared" si="5"/>
        <v>88</v>
      </c>
      <c r="G42" s="7">
        <f t="shared" si="1"/>
        <v>88</v>
      </c>
    </row>
  </sheetData>
  <mergeCells count="3">
    <mergeCell ref="A3:B3"/>
    <mergeCell ref="A13:G13"/>
    <mergeCell ref="A5:F5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Santos</dc:creator>
  <cp:lastModifiedBy>Márcio Santos</cp:lastModifiedBy>
  <dcterms:created xsi:type="dcterms:W3CDTF">2026-05-18T13:57:49Z</dcterms:created>
  <dcterms:modified xsi:type="dcterms:W3CDTF">2026-05-21T13:01:45Z</dcterms:modified>
</cp:coreProperties>
</file>